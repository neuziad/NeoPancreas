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ad\Documents\NeoPancreas\src\simulations\results\"/>
    </mc:Choice>
  </mc:AlternateContent>
  <xr:revisionPtr revIDLastSave="0" documentId="13_ncr:9_{3C944E3E-BE12-44B7-A79D-EA33A80676E8}" xr6:coauthVersionLast="47" xr6:coauthVersionMax="47" xr10:uidLastSave="{00000000-0000-0000-0000-000000000000}"/>
  <bookViews>
    <workbookView xWindow="-108" yWindow="-108" windowWidth="23256" windowHeight="12456" activeTab="1" xr2:uid="{35B71573-CFB6-4453-9F24-B792B2E1364B}"/>
  </bookViews>
  <sheets>
    <sheet name="compiled_performance_stats" sheetId="1" r:id="rId1"/>
    <sheet name="processed" sheetId="2" r:id="rId2"/>
  </sheets>
  <calcPr calcId="0"/>
</workbook>
</file>

<file path=xl/calcChain.xml><?xml version="1.0" encoding="utf-8"?>
<calcChain xmlns="http://schemas.openxmlformats.org/spreadsheetml/2006/main">
  <c r="D8" i="2" l="1"/>
  <c r="E8" i="2"/>
  <c r="D7" i="2"/>
  <c r="E7" i="2"/>
  <c r="D6" i="2"/>
  <c r="E6" i="2"/>
  <c r="D5" i="2"/>
  <c r="E5" i="2"/>
  <c r="D4" i="2"/>
  <c r="E4" i="2"/>
  <c r="D3" i="2"/>
  <c r="E3" i="2"/>
  <c r="D2" i="2"/>
  <c r="E2" i="2"/>
  <c r="C8" i="2"/>
  <c r="C7" i="2"/>
  <c r="C6" i="2"/>
  <c r="C5" i="2"/>
  <c r="C4" i="2"/>
  <c r="C3" i="2"/>
  <c r="C2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<sst xmlns="http://schemas.openxmlformats.org/spreadsheetml/2006/main" count="52" uniqueCount="52">
  <si>
    <t>Test and profile</t>
  </si>
  <si>
    <t>Percentage in range (3.9-10.0 mmol/L)</t>
  </si>
  <si>
    <t>LBGI risk index</t>
  </si>
  <si>
    <t>HBGI risk index</t>
  </si>
  <si>
    <t>Total risk index</t>
  </si>
  <si>
    <t>1control_adult#001</t>
  </si>
  <si>
    <t>1control_adult#002</t>
  </si>
  <si>
    <t>1control_adult#003</t>
  </si>
  <si>
    <t>1control_adult#004</t>
  </si>
  <si>
    <t>1control_adult#005</t>
  </si>
  <si>
    <t>2static_basal_adult#001</t>
  </si>
  <si>
    <t>2static_basal_adult#002</t>
  </si>
  <si>
    <t>2static_basal_adult#003</t>
  </si>
  <si>
    <t>2static_basal_adult#004</t>
  </si>
  <si>
    <t>2static_basal_adult#005</t>
  </si>
  <si>
    <t>3dynamic_basal_adult#001</t>
  </si>
  <si>
    <t>3dynamic_basal_adult#002</t>
  </si>
  <si>
    <t>3dynamic_basal_adult#003</t>
  </si>
  <si>
    <t>3dynamic_basal_adult#004</t>
  </si>
  <si>
    <t>3dynamic_basal_adult#005</t>
  </si>
  <si>
    <t>4dynamic_plus_exercise_adult#001</t>
  </si>
  <si>
    <t>4dynamic_plus_exercise_adult#002</t>
  </si>
  <si>
    <t>4dynamic_plus_exercise_adult#003</t>
  </si>
  <si>
    <t>4dynamic_plus_exercise_adult#004</t>
  </si>
  <si>
    <t>4dynamic_plus_exercise_adult#005</t>
  </si>
  <si>
    <t>5dynamic_basal_plus_meals_adult#001</t>
  </si>
  <si>
    <t>5dynamic_basal_plus_meals_adult#002</t>
  </si>
  <si>
    <t>5dynamic_basal_plus_meals_adult#003</t>
  </si>
  <si>
    <t>5dynamic_basal_plus_meals_adult#004</t>
  </si>
  <si>
    <t>5dynamic_basal_plus_meals_adult#005</t>
  </si>
  <si>
    <t>6dynamic_basal_plus_meals_exercise_adult#001</t>
  </si>
  <si>
    <t>6dynamic_basal_plus_meals_exercise_adult#002</t>
  </si>
  <si>
    <t>6dynamic_basal_plus_meals_exercise_adult#003</t>
  </si>
  <si>
    <t>6dynamic_basal_plus_meals_exercise_adult#004</t>
  </si>
  <si>
    <t>6dynamic_basal_plus_meals_exercise_adult#005</t>
  </si>
  <si>
    <t>7lossy_connection_adult#001</t>
  </si>
  <si>
    <t>7lossy_connection_adult#002</t>
  </si>
  <si>
    <t>7lossy_connection_adult#003</t>
  </si>
  <si>
    <t>7lossy_connection_adult#004</t>
  </si>
  <si>
    <t>7lossy_connection_adult#005</t>
  </si>
  <si>
    <t>Tests</t>
  </si>
  <si>
    <t>Average LBGI risk index</t>
  </si>
  <si>
    <t>Average HBGI risk index</t>
  </si>
  <si>
    <t>Average total risk index</t>
  </si>
  <si>
    <t>1control</t>
  </si>
  <si>
    <t>2static_basal</t>
  </si>
  <si>
    <t>3dynamic_basal</t>
  </si>
  <si>
    <t>4dynamic_plus_exercise</t>
  </si>
  <si>
    <t>5dynamic_basal_plus_meals</t>
  </si>
  <si>
    <t>6dynamic_basal_plus_meals_exercise</t>
  </si>
  <si>
    <t>7lossy_connection</t>
  </si>
  <si>
    <t>Average TIR percentage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</si>
</sst>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37F6-818E-4F1A-87CA-8BA82634C5C7}">
  <dimension ref="A1:E36"/>
  <sheetViews>
    <sheetView workbookViewId="0">
      <selection activeCell="C7" sqref="C7:C11"/>
    </sheetView>
  </sheetViews>
  <sheetFormatPr defaultRowHeight="14.4" x14ac:dyDescent="0.3"/>
  <cols>
    <col min="1" max="5" width="4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23.492723489999999</v>
      </c>
      <c r="C2">
        <v>0</v>
      </c>
      <c r="D2">
        <v>25.80410221</v>
      </c>
      <c r="E2">
        <v>25.80410221</v>
      </c>
    </row>
    <row r="3" spans="1:5" x14ac:dyDescent="0.3">
      <c r="A3" t="s">
        <v>6</v>
      </c>
      <c r="B3">
        <v>17.879417879999998</v>
      </c>
      <c r="C3">
        <v>0</v>
      </c>
      <c r="D3">
        <v>26.934276610000001</v>
      </c>
      <c r="E3">
        <v>26.934276610000001</v>
      </c>
    </row>
    <row r="4" spans="1:5" x14ac:dyDescent="0.3">
      <c r="A4" t="s">
        <v>7</v>
      </c>
      <c r="B4">
        <v>11.01871102</v>
      </c>
      <c r="C4">
        <v>0</v>
      </c>
      <c r="D4">
        <v>77.096802969999999</v>
      </c>
      <c r="E4">
        <v>77.096802969999999</v>
      </c>
    </row>
    <row r="5" spans="1:5" x14ac:dyDescent="0.3">
      <c r="A5" t="s">
        <v>8</v>
      </c>
      <c r="B5">
        <v>9.5634095630000004</v>
      </c>
      <c r="C5">
        <v>0</v>
      </c>
      <c r="D5">
        <v>112.8453736</v>
      </c>
      <c r="E5">
        <v>112.8453736</v>
      </c>
    </row>
    <row r="6" spans="1:5" x14ac:dyDescent="0.3">
      <c r="A6" t="s">
        <v>9</v>
      </c>
      <c r="B6">
        <v>21.829521830000001</v>
      </c>
      <c r="C6">
        <v>0</v>
      </c>
      <c r="D6">
        <v>14.955770060000001</v>
      </c>
      <c r="E6">
        <v>14.955770060000001</v>
      </c>
    </row>
    <row r="7" spans="1:5" x14ac:dyDescent="0.3">
      <c r="A7" t="s">
        <v>10</v>
      </c>
      <c r="B7">
        <v>9.1476091480000008</v>
      </c>
      <c r="C7">
        <v>134.70322530000001</v>
      </c>
      <c r="D7">
        <v>0.32980653100000001</v>
      </c>
      <c r="E7">
        <v>135.0330319</v>
      </c>
    </row>
    <row r="8" spans="1:5" x14ac:dyDescent="0.3">
      <c r="A8" t="s">
        <v>11</v>
      </c>
      <c r="B8">
        <v>8.9397089399999992</v>
      </c>
      <c r="C8">
        <v>117.52855599999999</v>
      </c>
      <c r="D8">
        <v>0.17997724200000001</v>
      </c>
      <c r="E8">
        <v>117.7085333</v>
      </c>
    </row>
    <row r="9" spans="1:5" x14ac:dyDescent="0.3">
      <c r="A9" t="s">
        <v>12</v>
      </c>
      <c r="B9">
        <v>6.0291060290000003</v>
      </c>
      <c r="C9">
        <v>128.01949680000001</v>
      </c>
      <c r="D9">
        <v>0.60872933600000001</v>
      </c>
      <c r="E9">
        <v>128.6282262</v>
      </c>
    </row>
    <row r="10" spans="1:5" x14ac:dyDescent="0.3">
      <c r="A10" t="s">
        <v>13</v>
      </c>
      <c r="B10">
        <v>11.850311850000001</v>
      </c>
      <c r="C10">
        <v>76.471393489999997</v>
      </c>
      <c r="D10">
        <v>0.16417814</v>
      </c>
      <c r="E10">
        <v>76.635571630000001</v>
      </c>
    </row>
    <row r="11" spans="1:5" x14ac:dyDescent="0.3">
      <c r="A11" t="s">
        <v>14</v>
      </c>
      <c r="B11">
        <v>8.9397089399999992</v>
      </c>
      <c r="C11">
        <v>93.053784730000004</v>
      </c>
      <c r="D11">
        <v>0.50852900400000001</v>
      </c>
      <c r="E11">
        <v>93.56231373</v>
      </c>
    </row>
    <row r="12" spans="1:5" x14ac:dyDescent="0.3">
      <c r="A12" t="s">
        <v>15</v>
      </c>
      <c r="B12">
        <v>100</v>
      </c>
      <c r="C12">
        <v>1.0995763999999999</v>
      </c>
      <c r="D12">
        <v>0.34027038900000001</v>
      </c>
      <c r="E12">
        <v>1.439846789</v>
      </c>
    </row>
    <row r="13" spans="1:5" x14ac:dyDescent="0.3">
      <c r="A13" t="s">
        <v>16</v>
      </c>
      <c r="B13">
        <v>100</v>
      </c>
      <c r="C13">
        <v>0.13022081399999999</v>
      </c>
      <c r="D13">
        <v>0.60875200100000004</v>
      </c>
      <c r="E13">
        <v>0.73897281500000001</v>
      </c>
    </row>
    <row r="14" spans="1:5" x14ac:dyDescent="0.3">
      <c r="A14" t="s">
        <v>17</v>
      </c>
      <c r="B14">
        <v>91.060291059999997</v>
      </c>
      <c r="C14">
        <v>2.2345670979999999</v>
      </c>
      <c r="D14">
        <v>0.80612950100000003</v>
      </c>
      <c r="E14">
        <v>3.0406965989999999</v>
      </c>
    </row>
    <row r="15" spans="1:5" x14ac:dyDescent="0.3">
      <c r="A15" t="s">
        <v>18</v>
      </c>
      <c r="B15">
        <v>64.241164240000003</v>
      </c>
      <c r="C15">
        <v>6.959161473</v>
      </c>
      <c r="D15">
        <v>0.96641607799999996</v>
      </c>
      <c r="E15">
        <v>7.9255775509999999</v>
      </c>
    </row>
    <row r="16" spans="1:5" x14ac:dyDescent="0.3">
      <c r="A16" t="s">
        <v>19</v>
      </c>
      <c r="B16">
        <v>100</v>
      </c>
      <c r="C16">
        <v>5.8062634000000002E-2</v>
      </c>
      <c r="D16">
        <v>0.72543277699999997</v>
      </c>
      <c r="E16">
        <v>0.78349541099999997</v>
      </c>
    </row>
    <row r="17" spans="1:5" x14ac:dyDescent="0.3">
      <c r="A17" t="s">
        <v>20</v>
      </c>
      <c r="B17">
        <v>87.733887730000006</v>
      </c>
      <c r="C17">
        <v>0</v>
      </c>
      <c r="D17">
        <v>4.1451359920000002</v>
      </c>
      <c r="E17">
        <v>4.1451359920000002</v>
      </c>
    </row>
    <row r="18" spans="1:5" x14ac:dyDescent="0.3">
      <c r="A18" t="s">
        <v>21</v>
      </c>
      <c r="B18">
        <v>73.180873180000006</v>
      </c>
      <c r="C18">
        <v>0</v>
      </c>
      <c r="D18">
        <v>6.1456346000000002</v>
      </c>
      <c r="E18">
        <v>6.1456346000000002</v>
      </c>
    </row>
    <row r="19" spans="1:5" x14ac:dyDescent="0.3">
      <c r="A19" t="s">
        <v>22</v>
      </c>
      <c r="B19">
        <v>78.378378380000001</v>
      </c>
      <c r="C19">
        <v>0</v>
      </c>
      <c r="D19">
        <v>4.7273693919999999</v>
      </c>
      <c r="E19">
        <v>4.7273693919999999</v>
      </c>
    </row>
    <row r="20" spans="1:5" x14ac:dyDescent="0.3">
      <c r="A20" t="s">
        <v>23</v>
      </c>
      <c r="B20">
        <v>69.230769230000007</v>
      </c>
      <c r="C20">
        <v>2.0938894E-2</v>
      </c>
      <c r="D20">
        <v>4.9064974350000004</v>
      </c>
      <c r="E20">
        <v>4.9274363299999999</v>
      </c>
    </row>
    <row r="21" spans="1:5" x14ac:dyDescent="0.3">
      <c r="A21" t="s">
        <v>24</v>
      </c>
      <c r="B21">
        <v>100</v>
      </c>
      <c r="C21">
        <v>0</v>
      </c>
      <c r="D21">
        <v>4.3648234109999997</v>
      </c>
      <c r="E21">
        <v>4.3648234109999997</v>
      </c>
    </row>
    <row r="22" spans="1:5" x14ac:dyDescent="0.3">
      <c r="A22" t="s">
        <v>25</v>
      </c>
      <c r="B22">
        <v>98.336798340000001</v>
      </c>
      <c r="C22">
        <v>1.312814688</v>
      </c>
      <c r="D22">
        <v>1.0520999289999999</v>
      </c>
      <c r="E22">
        <v>2.3649146170000002</v>
      </c>
    </row>
    <row r="23" spans="1:5" x14ac:dyDescent="0.3">
      <c r="A23" t="s">
        <v>26</v>
      </c>
      <c r="B23">
        <v>100</v>
      </c>
      <c r="C23">
        <v>0.288417215</v>
      </c>
      <c r="D23">
        <v>0.90322363299999997</v>
      </c>
      <c r="E23">
        <v>1.1916408469999999</v>
      </c>
    </row>
    <row r="24" spans="1:5" x14ac:dyDescent="0.3">
      <c r="A24" t="s">
        <v>27</v>
      </c>
      <c r="B24">
        <v>95.218295220000002</v>
      </c>
      <c r="C24">
        <v>0.37997360099999999</v>
      </c>
      <c r="D24">
        <v>1.4698295100000001</v>
      </c>
      <c r="E24">
        <v>1.8498031100000001</v>
      </c>
    </row>
    <row r="25" spans="1:5" x14ac:dyDescent="0.3">
      <c r="A25" t="s">
        <v>28</v>
      </c>
      <c r="B25">
        <v>54.054054049999998</v>
      </c>
      <c r="C25">
        <v>20.127065439999999</v>
      </c>
      <c r="D25">
        <v>1.892487963</v>
      </c>
      <c r="E25">
        <v>22.019553399999999</v>
      </c>
    </row>
    <row r="26" spans="1:5" x14ac:dyDescent="0.3">
      <c r="A26" t="s">
        <v>29</v>
      </c>
      <c r="B26">
        <v>97.505197510000002</v>
      </c>
      <c r="C26">
        <v>0.238525815</v>
      </c>
      <c r="D26">
        <v>1.3555425240000001</v>
      </c>
      <c r="E26">
        <v>1.5940683389999999</v>
      </c>
    </row>
    <row r="27" spans="1:5" x14ac:dyDescent="0.3">
      <c r="A27" t="s">
        <v>30</v>
      </c>
      <c r="B27">
        <v>92.515592519999998</v>
      </c>
      <c r="C27">
        <v>0</v>
      </c>
      <c r="D27">
        <v>4.374531535</v>
      </c>
      <c r="E27">
        <v>4.374531535</v>
      </c>
    </row>
    <row r="28" spans="1:5" x14ac:dyDescent="0.3">
      <c r="A28" t="s">
        <v>31</v>
      </c>
      <c r="B28">
        <v>72.349272350000007</v>
      </c>
      <c r="C28">
        <v>0</v>
      </c>
      <c r="D28">
        <v>5.8363777890000001</v>
      </c>
      <c r="E28">
        <v>5.8363777890000001</v>
      </c>
    </row>
    <row r="29" spans="1:5" x14ac:dyDescent="0.3">
      <c r="A29" t="s">
        <v>32</v>
      </c>
      <c r="B29">
        <v>73.596673600000003</v>
      </c>
      <c r="C29">
        <v>0</v>
      </c>
      <c r="D29">
        <v>5.7855272099999997</v>
      </c>
      <c r="E29">
        <v>5.7855272099999997</v>
      </c>
    </row>
    <row r="30" spans="1:5" x14ac:dyDescent="0.3">
      <c r="A30" t="s">
        <v>33</v>
      </c>
      <c r="B30">
        <v>74.428274430000002</v>
      </c>
      <c r="C30">
        <v>4.0182053000000002E-2</v>
      </c>
      <c r="D30">
        <v>4.9347074360000001</v>
      </c>
      <c r="E30">
        <v>4.9748894899999998</v>
      </c>
    </row>
    <row r="31" spans="1:5" x14ac:dyDescent="0.3">
      <c r="A31" t="s">
        <v>34</v>
      </c>
      <c r="B31">
        <v>79.20997921</v>
      </c>
      <c r="C31">
        <v>0</v>
      </c>
      <c r="D31">
        <v>5.7781861220000001</v>
      </c>
      <c r="E31">
        <v>5.7781861220000001</v>
      </c>
    </row>
    <row r="32" spans="1:5" x14ac:dyDescent="0.3">
      <c r="A32" t="s">
        <v>35</v>
      </c>
      <c r="B32">
        <v>23.492723489999999</v>
      </c>
      <c r="C32">
        <v>0</v>
      </c>
      <c r="D32">
        <v>25.80410221</v>
      </c>
      <c r="E32">
        <v>25.80410221</v>
      </c>
    </row>
    <row r="33" spans="1:5" x14ac:dyDescent="0.3">
      <c r="A33" t="s">
        <v>36</v>
      </c>
      <c r="B33">
        <v>17.879417879999998</v>
      </c>
      <c r="C33">
        <v>0</v>
      </c>
      <c r="D33">
        <v>26.934276610000001</v>
      </c>
      <c r="E33">
        <v>26.934276610000001</v>
      </c>
    </row>
    <row r="34" spans="1:5" x14ac:dyDescent="0.3">
      <c r="A34" t="s">
        <v>37</v>
      </c>
      <c r="B34">
        <v>11.01871102</v>
      </c>
      <c r="C34">
        <v>0</v>
      </c>
      <c r="D34">
        <v>77.096802969999999</v>
      </c>
      <c r="E34">
        <v>77.096802969999999</v>
      </c>
    </row>
    <row r="35" spans="1:5" x14ac:dyDescent="0.3">
      <c r="A35" t="s">
        <v>38</v>
      </c>
      <c r="B35">
        <v>9.5634095630000004</v>
      </c>
      <c r="C35">
        <v>0</v>
      </c>
      <c r="D35">
        <v>112.8453736</v>
      </c>
      <c r="E35">
        <v>112.8453736</v>
      </c>
    </row>
    <row r="36" spans="1:5" x14ac:dyDescent="0.3">
      <c r="A36" t="s">
        <v>39</v>
      </c>
      <c r="B36">
        <v>21.829521830000001</v>
      </c>
      <c r="C36">
        <v>0</v>
      </c>
      <c r="D36">
        <v>14.955770060000001</v>
      </c>
      <c r="E36">
        <v>14.955770060000001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53AD-217C-4052-BE66-D515BCDB94A4}">
  <dimension ref="A1:E8"/>
  <sheetViews>
    <sheetView tabSelected="1" workbookViewId="0">
      <selection activeCell="A8" sqref="A1:E8"/>
    </sheetView>
  </sheetViews>
  <sheetFormatPr defaultRowHeight="14.4" x14ac:dyDescent="0.3"/>
  <cols>
    <col min="1" max="1" width="34.88671875" customWidth="1"/>
    <col min="2" max="2" width="23.5546875" customWidth="1"/>
    <col min="3" max="3" width="21.33203125" customWidth="1"/>
    <col min="4" max="4" width="22.109375" customWidth="1"/>
    <col min="5" max="5" width="21.44140625" customWidth="1"/>
  </cols>
  <sheetData>
    <row r="1" spans="1:5" x14ac:dyDescent="0.3">
      <c r="A1" t="s">
        <v>40</v>
      </c>
      <c r="B1" t="s">
        <v>51</v>
      </c>
      <c r="C1" t="s">
        <v>41</v>
      </c>
      <c r="D1" t="s">
        <v>42</v>
      </c>
      <c r="E1" t="s">
        <v>43</v>
      </c>
    </row>
    <row r="2" spans="1:5" x14ac:dyDescent="0.3">
      <c r="A2" t="s">
        <v>44</v>
      </c>
      <c r="B2" s="1">
        <f>AVERAGE(compiled_performance_stats!B2:B6)</f>
        <v>16.756756756599998</v>
      </c>
      <c r="C2" s="1">
        <f>AVERAGE(compiled_performance_stats!C2:C6)</f>
        <v>0</v>
      </c>
      <c r="D2" s="1">
        <f>AVERAGE(compiled_performance_stats!D2:D6)</f>
        <v>51.52726509</v>
      </c>
      <c r="E2" s="1">
        <f>AVERAGE(compiled_performance_stats!E2:E6)</f>
        <v>51.52726509</v>
      </c>
    </row>
    <row r="3" spans="1:5" x14ac:dyDescent="0.3">
      <c r="A3" t="s">
        <v>45</v>
      </c>
      <c r="B3" s="1">
        <f>AVERAGE(compiled_performance_stats!B7:B11)</f>
        <v>8.9812889814000023</v>
      </c>
      <c r="C3" s="1">
        <f>AVERAGE(compiled_performance_stats!C7:C11)</f>
        <v>109.955291264</v>
      </c>
      <c r="D3" s="1">
        <f>AVERAGE(compiled_performance_stats!D7:D11)</f>
        <v>0.35824405060000003</v>
      </c>
      <c r="E3" s="1">
        <f>AVERAGE(compiled_performance_stats!E7:E11)</f>
        <v>110.313535352</v>
      </c>
    </row>
    <row r="4" spans="1:5" x14ac:dyDescent="0.3">
      <c r="A4" t="s">
        <v>46</v>
      </c>
      <c r="B4" s="1">
        <f>AVERAGE(compiled_performance_stats!B12:B16)</f>
        <v>91.060291059999997</v>
      </c>
      <c r="C4" s="1">
        <f>AVERAGE(compiled_performance_stats!C12:C16)</f>
        <v>2.0963176837999997</v>
      </c>
      <c r="D4" s="1">
        <f>AVERAGE(compiled_performance_stats!D12:D16)</f>
        <v>0.68940014920000003</v>
      </c>
      <c r="E4" s="1">
        <f>AVERAGE(compiled_performance_stats!E12:E16)</f>
        <v>2.7857178330000001</v>
      </c>
    </row>
    <row r="5" spans="1:5" x14ac:dyDescent="0.3">
      <c r="A5" t="s">
        <v>47</v>
      </c>
      <c r="B5" s="1">
        <f>AVERAGE(compiled_performance_stats!B17:B21)</f>
        <v>81.704781703999998</v>
      </c>
      <c r="C5" s="1">
        <f>AVERAGE(compiled_performance_stats!C17:C21)</f>
        <v>4.1877787999999999E-3</v>
      </c>
      <c r="D5" s="1">
        <f>AVERAGE(compiled_performance_stats!D17:D21)</f>
        <v>4.8578921660000001</v>
      </c>
      <c r="E5" s="1">
        <f>AVERAGE(compiled_performance_stats!E17:E21)</f>
        <v>4.8620799449999996</v>
      </c>
    </row>
    <row r="6" spans="1:5" x14ac:dyDescent="0.3">
      <c r="A6" t="s">
        <v>48</v>
      </c>
      <c r="B6" s="1">
        <f>AVERAGE(compiled_performance_stats!B22:B26)</f>
        <v>89.022869024000002</v>
      </c>
      <c r="C6" s="1">
        <f>AVERAGE(compiled_performance_stats!C22:C26)</f>
        <v>4.4693593517999997</v>
      </c>
      <c r="D6" s="1">
        <f>AVERAGE(compiled_performance_stats!D22:D26)</f>
        <v>1.3346367118</v>
      </c>
      <c r="E6" s="1">
        <f>AVERAGE(compiled_performance_stats!E22:E26)</f>
        <v>5.8039960626000004</v>
      </c>
    </row>
    <row r="7" spans="1:5" x14ac:dyDescent="0.3">
      <c r="A7" t="s">
        <v>49</v>
      </c>
      <c r="B7" s="1">
        <f>AVERAGE(compiled_performance_stats!B27:B31)</f>
        <v>78.419958422000008</v>
      </c>
      <c r="C7" s="1">
        <f>AVERAGE(compiled_performance_stats!C27:C31)</f>
        <v>8.0364106000000001E-3</v>
      </c>
      <c r="D7" s="1">
        <f>AVERAGE(compiled_performance_stats!D27:D31)</f>
        <v>5.3418660184000002</v>
      </c>
      <c r="E7" s="1">
        <f>AVERAGE(compiled_performance_stats!E27:E31)</f>
        <v>5.3499024292000001</v>
      </c>
    </row>
    <row r="8" spans="1:5" x14ac:dyDescent="0.3">
      <c r="A8" t="s">
        <v>50</v>
      </c>
      <c r="B8" s="1">
        <f>AVERAGE(compiled_performance_stats!B32:B36)</f>
        <v>16.756756756599998</v>
      </c>
      <c r="C8" s="1">
        <f>AVERAGE(compiled_performance_stats!C32:C36)</f>
        <v>0</v>
      </c>
      <c r="D8" s="1">
        <f>AVERAGE(compiled_performance_stats!D32:D36)</f>
        <v>51.52726509</v>
      </c>
      <c r="E8" s="1">
        <f>AVERAGE(compiled_performance_stats!E32:E36)</f>
        <v>51.52726509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compiled_performance_stats</vt:lpstr>
      <vt:lpstr>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Ziad El Krekshi (UG)</cp:lastModifiedBy>
  <dcterms:created xsi:type="dcterms:W3CDTF">2025-04-02T13:35:16Z</dcterms:created>
  <dcterms:modified xsi:type="dcterms:W3CDTF">2025-04-02T13:42:19Z</dcterms:modified>
</cp:coreProperties>
</file>